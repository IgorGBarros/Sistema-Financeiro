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4049476d97b7d55/Área de Trabalho/"/>
    </mc:Choice>
  </mc:AlternateContent>
  <xr:revisionPtr revIDLastSave="0" documentId="8_{76E955FD-1B81-436E-99D9-256642384E42}" xr6:coauthVersionLast="47" xr6:coauthVersionMax="47" xr10:uidLastSave="{00000000-0000-0000-0000-000000000000}"/>
  <bookViews>
    <workbookView xWindow="-108" yWindow="-108" windowWidth="23256" windowHeight="13176" xr2:uid="{B110AD32-1AE5-426B-8D25-0358818F1117}"/>
  </bookViews>
  <sheets>
    <sheet name="Contrato_Previ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9" i="1" l="1"/>
  <c r="P18" i="1"/>
  <c r="P17" i="1"/>
  <c r="P16" i="1"/>
  <c r="J16" i="1"/>
  <c r="P15" i="1"/>
  <c r="P14" i="1"/>
  <c r="P13" i="1"/>
  <c r="J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<sst xmlns="http://schemas.openxmlformats.org/spreadsheetml/2006/main" count="161" uniqueCount="52">
  <si>
    <t>ID</t>
  </si>
  <si>
    <t>Número do Contrato</t>
  </si>
  <si>
    <t>Cód. Estabelecimento</t>
  </si>
  <si>
    <t>Nome do Estabelecimeno</t>
  </si>
  <si>
    <t>Descrição</t>
  </si>
  <si>
    <t>Categoria</t>
  </si>
  <si>
    <t>Classificação</t>
  </si>
  <si>
    <t>Tipo de Contrato</t>
  </si>
  <si>
    <t>Status do Contrato</t>
  </si>
  <si>
    <t>Preço Unitáro</t>
  </si>
  <si>
    <t>Total</t>
  </si>
  <si>
    <t>Frequencia</t>
  </si>
  <si>
    <t>data de inicio</t>
  </si>
  <si>
    <t xml:space="preserve">data fim </t>
  </si>
  <si>
    <t>data de recisão</t>
  </si>
  <si>
    <t>Parcela</t>
  </si>
  <si>
    <t>pagamento</t>
  </si>
  <si>
    <t>forma de pagamento</t>
  </si>
  <si>
    <t>data do pagamento</t>
  </si>
  <si>
    <t>tipo_registro</t>
  </si>
  <si>
    <t>Tipo da Conta</t>
  </si>
  <si>
    <t>MXPLan</t>
  </si>
  <si>
    <t>Salário</t>
  </si>
  <si>
    <t>Receita</t>
  </si>
  <si>
    <t>M</t>
  </si>
  <si>
    <t>Ativo</t>
  </si>
  <si>
    <t>contrato_fechado</t>
  </si>
  <si>
    <t>Fixo</t>
  </si>
  <si>
    <t>Colégio Omega</t>
  </si>
  <si>
    <t>Educação</t>
  </si>
  <si>
    <t>Despesa</t>
  </si>
  <si>
    <t>Coelba</t>
  </si>
  <si>
    <t>Luz</t>
  </si>
  <si>
    <t>Iptu</t>
  </si>
  <si>
    <t>Condominio</t>
  </si>
  <si>
    <t>Ultragaz</t>
  </si>
  <si>
    <t>Gás</t>
  </si>
  <si>
    <t>Escola Aquarela Sol</t>
  </si>
  <si>
    <t>Financiamento</t>
  </si>
  <si>
    <t>13º Salário</t>
  </si>
  <si>
    <t>A</t>
  </si>
  <si>
    <t>Restituição Imposto de Renda</t>
  </si>
  <si>
    <t>Férias</t>
  </si>
  <si>
    <t>Internet</t>
  </si>
  <si>
    <t>Escolinha de Futebol</t>
  </si>
  <si>
    <t>Custo Operacional</t>
  </si>
  <si>
    <t>Trade</t>
  </si>
  <si>
    <t>Juros</t>
  </si>
  <si>
    <t>Cheque especial</t>
  </si>
  <si>
    <t>Alimentação</t>
  </si>
  <si>
    <t>Ajuda de Meu Pai</t>
  </si>
  <si>
    <t>Auxilio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</si>
</sst>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43" fontId="0" fillId="0" borderId="0" xfId="1" applyFont="1"/>
    <xf numFmtId="0" fontId="0" fillId="2" borderId="1" xfId="0" applyFill="1" applyBorder="1"/>
    <xf numFmtId="14" fontId="2" fillId="0" borderId="0" xfId="0" applyNumberFormat="1" applyFont="1"/>
  </cellXfs>
  <cellStyles count="2">
    <cellStyle name="Normal" xfId="0" builtinId="0"/>
    <cellStyle name="Vírgula" xfId="1" builtinId="3"/>
  </cellStyles>
  <dxfs count="4">
    <dxf>
      <numFmt numFmtId="19" formatCode="dd/mm/yyyy"/>
    </dxf>
    <dxf>
      <numFmt numFmtId="164" formatCode="_-* #,##0_-;\-* #,##0_-;_-* &quot;-&quot;??_-;_-@_-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147A3-9F35-4D66-94B7-020A73AD2BDC}" name="Financeiro" displayName="Financeiro" ref="A1:U19" totalsRowShown="0">
  <autoFilter ref="A1:U19" xr:uid="{BCE2E923-51BF-4839-947F-CC3D746CDC4D}"/>
  <tableColumns count="21">
    <tableColumn id="1" xr3:uid="{940B6E95-AC0A-4EF0-9411-200E687B5E5E}" name="ID"/>
    <tableColumn id="2" xr3:uid="{DD1C4240-A491-4D12-954F-7BFDD63856B3}" name="Número do Contrato"/>
    <tableColumn id="3" xr3:uid="{8FF945CB-8CB0-49AE-954E-05700E43DD96}" name="Cód. Estabelecimento"/>
    <tableColumn id="4" xr3:uid="{B27C229A-D9AB-42F5-8B6F-E9A424FBFE8C}" name="Nome do Estabelecimeno"/>
    <tableColumn id="5" xr3:uid="{17304826-4A12-47FF-A6C9-C36838B26E28}" name="Descrição"/>
    <tableColumn id="6" xr3:uid="{109FB617-5D9F-4D87-95C0-8761EDC35CF0}" name="Categoria"/>
    <tableColumn id="21" xr3:uid="{11CDBB09-DFCF-494E-97FC-00D6C08C1F62}" name="Classificação"/>
    <tableColumn id="7" xr3:uid="{A6F633EB-AE90-4A5F-A8D0-1447B7F1A680}" name="Tipo de Contrato"/>
    <tableColumn id="8" xr3:uid="{3362E4F9-0FEC-4ADB-B69C-98B100CCB043}" name="Status do Contrato"/>
    <tableColumn id="9" xr3:uid="{48966457-FA1D-492D-AF98-4CF1B8723106}" name="Preço Unitáro" dataCellStyle="Vírgula"/>
    <tableColumn id="10" xr3:uid="{AF6BA0B9-97F2-434E-8D8D-F87007806192}" name="Total"/>
    <tableColumn id="11" xr3:uid="{29DD0259-6586-4CEC-BB02-00508F8FDC3D}" name="Frequencia"/>
    <tableColumn id="12" xr3:uid="{FE610D15-FEA2-4160-9622-5A6BAF50870A}" name="data de inicio"/>
    <tableColumn id="13" xr3:uid="{13149AE5-9DDB-4598-B2D5-9A350E1E1F09}" name="data fim " dataDxfId="3"/>
    <tableColumn id="14" xr3:uid="{E28D184D-E06D-47D6-A135-C8251CCED883}" name="data de recisão" dataDxfId="2"/>
    <tableColumn id="15" xr3:uid="{EC60F251-C36A-4EB5-BDFA-C1E4BD70E804}" name="Parcela" dataDxfId="1" dataCellStyle="Vírgula">
      <calculatedColumnFormula>(Financeiro[[#This Row],[data fim ]]-Financeiro[[#This Row],[data de inicio]])/30</calculatedColumnFormula>
    </tableColumn>
    <tableColumn id="16" xr3:uid="{A33502B8-1000-4424-AEF7-B6588092CDC7}" name="pagamento" dataDxfId="0"/>
    <tableColumn id="17" xr3:uid="{F9080040-6C8C-4F95-BDDA-4DE27AA59AB3}" name="forma de pagamento"/>
    <tableColumn id="18" xr3:uid="{CB074544-72FE-4514-B6F4-E4921F83D874}" name="data do pagamento"/>
    <tableColumn id="19" xr3:uid="{C2D688BC-979D-45EC-B3F7-DE9BF9C6CE4E}" name="tipo_registro"/>
    <tableColumn id="20" xr3:uid="{CADB43F4-156E-444E-AEF6-631ED63B23FF}" name="Tipo da Co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1140-1D84-44DC-81BD-447E4862AA25}">
  <dimension ref="A1:U19"/>
  <sheetViews>
    <sheetView tabSelected="1" topLeftCell="E1" zoomScale="85" zoomScaleNormal="85" workbookViewId="0">
      <selection sqref="A1:U19"/>
    </sheetView>
  </sheetViews>
  <sheetFormatPr defaultRowHeight="14.4" x14ac:dyDescent="0.3"/>
  <cols>
    <col min="2" max="2" width="19.5546875" customWidth="1"/>
    <col min="3" max="3" width="21.21875" customWidth="1"/>
    <col min="4" max="4" width="24.109375" customWidth="1"/>
    <col min="5" max="5" width="21.109375" customWidth="1"/>
    <col min="6" max="6" width="10.88671875" customWidth="1"/>
    <col min="7" max="7" width="10.6640625" customWidth="1"/>
    <col min="8" max="8" width="16.44140625" customWidth="1"/>
    <col min="9" max="9" width="18.21875" customWidth="1"/>
    <col min="10" max="10" width="14.109375" customWidth="1"/>
    <col min="12" max="12" width="12.21875" customWidth="1"/>
    <col min="13" max="13" width="14.109375" customWidth="1"/>
    <col min="14" max="14" width="11" bestFit="1" customWidth="1"/>
    <col min="15" max="15" width="15.5546875" customWidth="1"/>
    <col min="16" max="16" width="10.5546875" style="1" bestFit="1" customWidth="1"/>
    <col min="17" max="17" width="12.21875" style="2" customWidth="1"/>
    <col min="18" max="18" width="19.88671875" customWidth="1"/>
    <col min="19" max="19" width="18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</v>
      </c>
      <c r="C2">
        <v>100</v>
      </c>
      <c r="D2" t="s">
        <v>21</v>
      </c>
      <c r="E2" t="s">
        <v>22</v>
      </c>
      <c r="F2" t="s">
        <v>23</v>
      </c>
      <c r="G2" t="s">
        <v>22</v>
      </c>
      <c r="H2" t="s">
        <v>24</v>
      </c>
      <c r="I2" t="s">
        <v>25</v>
      </c>
      <c r="J2" s="3">
        <v>-5543</v>
      </c>
      <c r="M2" s="2">
        <v>46028</v>
      </c>
      <c r="N2" s="2">
        <v>46727</v>
      </c>
      <c r="O2" s="2"/>
      <c r="P2" s="1">
        <f>(Financeiro[[#This Row],[data fim ]]-Financeiro[[#This Row],[data de inicio]])/30</f>
        <v>23.3</v>
      </c>
      <c r="T2" t="s">
        <v>26</v>
      </c>
      <c r="U2" t="s">
        <v>27</v>
      </c>
    </row>
    <row r="3" spans="1:21" x14ac:dyDescent="0.3">
      <c r="A3">
        <v>2</v>
      </c>
      <c r="B3">
        <v>2</v>
      </c>
      <c r="C3">
        <v>101</v>
      </c>
      <c r="D3" t="s">
        <v>28</v>
      </c>
      <c r="E3" t="s">
        <v>29</v>
      </c>
      <c r="F3" t="s">
        <v>30</v>
      </c>
      <c r="G3" t="s">
        <v>29</v>
      </c>
      <c r="H3" t="s">
        <v>24</v>
      </c>
      <c r="I3" t="s">
        <v>25</v>
      </c>
      <c r="J3" s="3">
        <v>1480</v>
      </c>
      <c r="M3" s="2">
        <v>46032</v>
      </c>
      <c r="N3" s="2">
        <v>46366</v>
      </c>
      <c r="O3" s="2"/>
      <c r="P3" s="1">
        <f>(Financeiro[[#This Row],[data fim ]]-Financeiro[[#This Row],[data de inicio]])/30</f>
        <v>11.133333333333333</v>
      </c>
      <c r="T3" t="s">
        <v>26</v>
      </c>
      <c r="U3" t="s">
        <v>27</v>
      </c>
    </row>
    <row r="4" spans="1:21" x14ac:dyDescent="0.3">
      <c r="A4">
        <v>3</v>
      </c>
      <c r="B4">
        <v>3</v>
      </c>
      <c r="C4">
        <v>102</v>
      </c>
      <c r="D4" t="s">
        <v>31</v>
      </c>
      <c r="E4" t="s">
        <v>32</v>
      </c>
      <c r="F4" t="s">
        <v>30</v>
      </c>
      <c r="G4" t="s">
        <v>32</v>
      </c>
      <c r="H4" s="4" t="s">
        <v>24</v>
      </c>
      <c r="I4" s="4" t="s">
        <v>25</v>
      </c>
      <c r="J4" s="3">
        <v>320</v>
      </c>
      <c r="M4" s="2">
        <v>46033</v>
      </c>
      <c r="N4" s="2">
        <v>46732</v>
      </c>
      <c r="O4" s="2"/>
      <c r="P4" s="1">
        <f>(Financeiro[[#This Row],[data fim ]]-Financeiro[[#This Row],[data de inicio]])/30</f>
        <v>23.3</v>
      </c>
      <c r="T4" t="s">
        <v>26</v>
      </c>
      <c r="U4" t="s">
        <v>27</v>
      </c>
    </row>
    <row r="5" spans="1:21" x14ac:dyDescent="0.3">
      <c r="A5">
        <v>4</v>
      </c>
      <c r="B5">
        <v>4</v>
      </c>
      <c r="C5">
        <v>103</v>
      </c>
      <c r="D5" t="s">
        <v>33</v>
      </c>
      <c r="E5" t="s">
        <v>33</v>
      </c>
      <c r="F5" t="s">
        <v>30</v>
      </c>
      <c r="G5" t="s">
        <v>33</v>
      </c>
      <c r="H5" s="4" t="s">
        <v>24</v>
      </c>
      <c r="I5" s="4" t="s">
        <v>25</v>
      </c>
      <c r="J5" s="3">
        <v>196.75</v>
      </c>
      <c r="M5" s="2">
        <v>46063</v>
      </c>
      <c r="N5" s="2">
        <v>46731</v>
      </c>
      <c r="O5" s="2"/>
      <c r="P5" s="1">
        <f>(Financeiro[[#This Row],[data fim ]]-Financeiro[[#This Row],[data de inicio]])/30</f>
        <v>22.266666666666666</v>
      </c>
      <c r="T5" t="s">
        <v>26</v>
      </c>
      <c r="U5" t="s">
        <v>27</v>
      </c>
    </row>
    <row r="6" spans="1:21" x14ac:dyDescent="0.3">
      <c r="A6">
        <v>5</v>
      </c>
      <c r="B6">
        <v>5</v>
      </c>
      <c r="C6">
        <v>104</v>
      </c>
      <c r="D6" t="s">
        <v>34</v>
      </c>
      <c r="E6" t="s">
        <v>34</v>
      </c>
      <c r="F6" t="s">
        <v>30</v>
      </c>
      <c r="G6" t="s">
        <v>34</v>
      </c>
      <c r="H6" s="4" t="s">
        <v>24</v>
      </c>
      <c r="I6" s="4" t="s">
        <v>25</v>
      </c>
      <c r="J6" s="3">
        <v>778</v>
      </c>
      <c r="M6" s="2">
        <v>46032</v>
      </c>
      <c r="N6" s="2">
        <v>46731</v>
      </c>
      <c r="O6" s="2"/>
      <c r="P6" s="1">
        <f>(Financeiro[[#This Row],[data fim ]]-Financeiro[[#This Row],[data de inicio]])/30</f>
        <v>23.3</v>
      </c>
      <c r="T6" t="s">
        <v>26</v>
      </c>
      <c r="U6" t="s">
        <v>27</v>
      </c>
    </row>
    <row r="7" spans="1:21" x14ac:dyDescent="0.3">
      <c r="A7">
        <v>6</v>
      </c>
      <c r="B7">
        <v>6</v>
      </c>
      <c r="C7">
        <v>105</v>
      </c>
      <c r="D7" t="s">
        <v>35</v>
      </c>
      <c r="E7" t="s">
        <v>35</v>
      </c>
      <c r="F7" t="s">
        <v>30</v>
      </c>
      <c r="G7" t="s">
        <v>36</v>
      </c>
      <c r="H7" s="4" t="s">
        <v>24</v>
      </c>
      <c r="I7" s="4" t="s">
        <v>25</v>
      </c>
      <c r="J7" s="3">
        <v>61</v>
      </c>
      <c r="M7" s="2">
        <v>46037</v>
      </c>
      <c r="N7" s="2">
        <v>46731</v>
      </c>
      <c r="O7" s="2"/>
      <c r="P7" s="1">
        <f>(Financeiro[[#This Row],[data fim ]]-Financeiro[[#This Row],[data de inicio]])/30</f>
        <v>23.133333333333333</v>
      </c>
      <c r="T7" t="s">
        <v>26</v>
      </c>
      <c r="U7" t="s">
        <v>27</v>
      </c>
    </row>
    <row r="8" spans="1:21" x14ac:dyDescent="0.3">
      <c r="A8">
        <v>7</v>
      </c>
      <c r="B8">
        <v>7</v>
      </c>
      <c r="C8">
        <v>106</v>
      </c>
      <c r="D8" t="s">
        <v>37</v>
      </c>
      <c r="E8" t="s">
        <v>29</v>
      </c>
      <c r="F8" t="s">
        <v>30</v>
      </c>
      <c r="G8" t="s">
        <v>29</v>
      </c>
      <c r="H8" s="4" t="s">
        <v>24</v>
      </c>
      <c r="I8" s="4" t="s">
        <v>25</v>
      </c>
      <c r="J8" s="3">
        <v>778</v>
      </c>
      <c r="M8" s="2">
        <v>46032</v>
      </c>
      <c r="N8" s="2">
        <v>46731</v>
      </c>
      <c r="O8" s="2"/>
      <c r="P8" s="1">
        <f>(Financeiro[[#This Row],[data fim ]]-Financeiro[[#This Row],[data de inicio]])/30</f>
        <v>23.3</v>
      </c>
      <c r="T8" t="s">
        <v>26</v>
      </c>
      <c r="U8" t="s">
        <v>27</v>
      </c>
    </row>
    <row r="9" spans="1:21" x14ac:dyDescent="0.3">
      <c r="A9">
        <v>8</v>
      </c>
      <c r="B9">
        <v>8</v>
      </c>
      <c r="C9">
        <v>107</v>
      </c>
      <c r="D9" t="s">
        <v>38</v>
      </c>
      <c r="E9" t="s">
        <v>38</v>
      </c>
      <c r="F9" t="s">
        <v>30</v>
      </c>
      <c r="G9" t="s">
        <v>38</v>
      </c>
      <c r="H9" s="4" t="s">
        <v>24</v>
      </c>
      <c r="I9" s="4" t="s">
        <v>25</v>
      </c>
      <c r="J9" s="3">
        <v>2090</v>
      </c>
      <c r="M9" s="2">
        <v>46032</v>
      </c>
      <c r="N9" s="2">
        <v>46731</v>
      </c>
      <c r="O9" s="2"/>
      <c r="P9" s="1">
        <f>(Financeiro[[#This Row],[data fim ]]-Financeiro[[#This Row],[data de inicio]])/30</f>
        <v>23.3</v>
      </c>
      <c r="T9" t="s">
        <v>26</v>
      </c>
      <c r="U9" t="s">
        <v>27</v>
      </c>
    </row>
    <row r="10" spans="1:21" x14ac:dyDescent="0.3">
      <c r="A10">
        <v>9</v>
      </c>
      <c r="B10">
        <v>9</v>
      </c>
      <c r="C10">
        <v>108</v>
      </c>
      <c r="D10" t="s">
        <v>21</v>
      </c>
      <c r="E10" t="s">
        <v>39</v>
      </c>
      <c r="F10" t="s">
        <v>23</v>
      </c>
      <c r="G10" t="s">
        <v>39</v>
      </c>
      <c r="H10" s="4" t="s">
        <v>40</v>
      </c>
      <c r="I10" s="4" t="s">
        <v>25</v>
      </c>
      <c r="J10" s="3">
        <v>-3168.75</v>
      </c>
      <c r="M10" s="2">
        <v>46346</v>
      </c>
      <c r="N10" s="2">
        <v>46346</v>
      </c>
      <c r="O10" s="2"/>
      <c r="P10" s="1">
        <f>(Financeiro[[#This Row],[data fim ]]-Financeiro[[#This Row],[data de inicio]])/30</f>
        <v>0</v>
      </c>
      <c r="T10" t="s">
        <v>26</v>
      </c>
      <c r="U10" t="s">
        <v>27</v>
      </c>
    </row>
    <row r="11" spans="1:21" x14ac:dyDescent="0.3">
      <c r="A11">
        <v>10</v>
      </c>
      <c r="B11">
        <v>10</v>
      </c>
      <c r="C11">
        <v>109</v>
      </c>
      <c r="D11" t="s">
        <v>21</v>
      </c>
      <c r="E11" t="s">
        <v>39</v>
      </c>
      <c r="F11" t="s">
        <v>23</v>
      </c>
      <c r="G11" t="s">
        <v>39</v>
      </c>
      <c r="H11" s="4" t="s">
        <v>40</v>
      </c>
      <c r="I11" s="4" t="s">
        <v>25</v>
      </c>
      <c r="J11" s="3">
        <v>-3168.75</v>
      </c>
      <c r="M11" s="2">
        <v>46376</v>
      </c>
      <c r="N11" s="2">
        <v>46376</v>
      </c>
      <c r="O11" s="2"/>
      <c r="P11" s="1">
        <f>(Financeiro[[#This Row],[data fim ]]-Financeiro[[#This Row],[data de inicio]])/30</f>
        <v>0</v>
      </c>
      <c r="T11" t="s">
        <v>26</v>
      </c>
      <c r="U11" t="s">
        <v>27</v>
      </c>
    </row>
    <row r="12" spans="1:21" x14ac:dyDescent="0.3">
      <c r="A12">
        <v>11</v>
      </c>
      <c r="B12">
        <v>11</v>
      </c>
      <c r="C12">
        <v>110</v>
      </c>
      <c r="D12" t="s">
        <v>41</v>
      </c>
      <c r="E12" t="s">
        <v>41</v>
      </c>
      <c r="F12" t="s">
        <v>23</v>
      </c>
      <c r="G12" t="s">
        <v>41</v>
      </c>
      <c r="H12" t="s">
        <v>40</v>
      </c>
      <c r="I12" s="4" t="s">
        <v>25</v>
      </c>
      <c r="J12" s="3">
        <v>-2000</v>
      </c>
      <c r="M12" s="2">
        <v>46162</v>
      </c>
      <c r="N12" s="2">
        <v>46162</v>
      </c>
      <c r="O12" s="2"/>
      <c r="P12" s="1">
        <f>(Financeiro[[#This Row],[data fim ]]-Financeiro[[#This Row],[data de inicio]])/30</f>
        <v>0</v>
      </c>
      <c r="T12" t="s">
        <v>26</v>
      </c>
      <c r="U12" t="s">
        <v>27</v>
      </c>
    </row>
    <row r="13" spans="1:21" x14ac:dyDescent="0.3">
      <c r="A13">
        <v>12</v>
      </c>
      <c r="B13">
        <v>12</v>
      </c>
      <c r="C13">
        <v>111</v>
      </c>
      <c r="D13" t="s">
        <v>21</v>
      </c>
      <c r="E13" t="s">
        <v>42</v>
      </c>
      <c r="F13" t="s">
        <v>23</v>
      </c>
      <c r="G13" t="s">
        <v>42</v>
      </c>
      <c r="H13" s="4" t="s">
        <v>24</v>
      </c>
      <c r="I13" s="4" t="s">
        <v>25</v>
      </c>
      <c r="J13" s="3">
        <f>-8450/1.333</f>
        <v>-6339.0847711927981</v>
      </c>
      <c r="M13" s="2">
        <v>46376</v>
      </c>
      <c r="N13" s="2">
        <v>46376</v>
      </c>
      <c r="O13" s="2"/>
      <c r="P13" s="1">
        <f>(Financeiro[[#This Row],[data fim ]]-Financeiro[[#This Row],[data de inicio]])/30</f>
        <v>0</v>
      </c>
      <c r="T13" t="s">
        <v>26</v>
      </c>
      <c r="U13" t="s">
        <v>27</v>
      </c>
    </row>
    <row r="14" spans="1:21" x14ac:dyDescent="0.3">
      <c r="A14">
        <v>13</v>
      </c>
      <c r="B14">
        <v>13</v>
      </c>
      <c r="C14">
        <v>112</v>
      </c>
      <c r="D14" t="s">
        <v>43</v>
      </c>
      <c r="E14" t="s">
        <v>43</v>
      </c>
      <c r="F14" t="s">
        <v>30</v>
      </c>
      <c r="G14" t="s">
        <v>43</v>
      </c>
      <c r="H14" s="4" t="s">
        <v>24</v>
      </c>
      <c r="I14" s="4" t="s">
        <v>25</v>
      </c>
      <c r="J14" s="3">
        <v>149.9</v>
      </c>
      <c r="M14" s="2">
        <v>46037</v>
      </c>
      <c r="N14" s="2">
        <v>46736</v>
      </c>
      <c r="O14" s="2"/>
      <c r="P14" s="1">
        <f>(Financeiro[[#This Row],[data fim ]]-Financeiro[[#This Row],[data de inicio]])/30</f>
        <v>23.3</v>
      </c>
      <c r="T14" t="s">
        <v>26</v>
      </c>
      <c r="U14" t="s">
        <v>27</v>
      </c>
    </row>
    <row r="15" spans="1:21" x14ac:dyDescent="0.3">
      <c r="A15">
        <v>14</v>
      </c>
      <c r="B15">
        <v>14</v>
      </c>
      <c r="C15">
        <v>113</v>
      </c>
      <c r="D15" t="s">
        <v>44</v>
      </c>
      <c r="E15" t="s">
        <v>29</v>
      </c>
      <c r="F15" t="s">
        <v>30</v>
      </c>
      <c r="G15" t="s">
        <v>29</v>
      </c>
      <c r="H15" s="4" t="s">
        <v>24</v>
      </c>
      <c r="I15" s="4" t="s">
        <v>25</v>
      </c>
      <c r="J15" s="3">
        <v>100</v>
      </c>
      <c r="M15" s="2">
        <v>46032</v>
      </c>
      <c r="N15" s="2">
        <v>46731</v>
      </c>
      <c r="O15" s="2"/>
      <c r="P15" s="1">
        <f>(Financeiro[[#This Row],[data fim ]]-Financeiro[[#This Row],[data de inicio]])/30</f>
        <v>23.3</v>
      </c>
      <c r="T15" t="s">
        <v>26</v>
      </c>
      <c r="U15" t="s">
        <v>27</v>
      </c>
    </row>
    <row r="16" spans="1:21" x14ac:dyDescent="0.3">
      <c r="A16">
        <v>15</v>
      </c>
      <c r="B16">
        <v>15</v>
      </c>
      <c r="C16">
        <v>114</v>
      </c>
      <c r="D16" t="s">
        <v>45</v>
      </c>
      <c r="E16" t="s">
        <v>46</v>
      </c>
      <c r="F16" t="s">
        <v>30</v>
      </c>
      <c r="G16" t="s">
        <v>45</v>
      </c>
      <c r="H16" s="4" t="s">
        <v>24</v>
      </c>
      <c r="I16" s="4" t="s">
        <v>25</v>
      </c>
      <c r="J16" s="3">
        <f>1800+350</f>
        <v>2150</v>
      </c>
      <c r="M16" s="5">
        <v>46058</v>
      </c>
      <c r="N16" s="2">
        <v>46058</v>
      </c>
      <c r="O16" s="2"/>
      <c r="P16" s="1">
        <f>(Financeiro[[#This Row],[data fim ]]-Financeiro[[#This Row],[data de inicio]])/30</f>
        <v>0</v>
      </c>
    </row>
    <row r="17" spans="1:21" x14ac:dyDescent="0.3">
      <c r="A17">
        <v>16</v>
      </c>
      <c r="B17">
        <v>16</v>
      </c>
      <c r="C17">
        <v>115</v>
      </c>
      <c r="D17" t="s">
        <v>47</v>
      </c>
      <c r="E17" t="s">
        <v>48</v>
      </c>
      <c r="F17" t="s">
        <v>30</v>
      </c>
      <c r="G17" t="s">
        <v>47</v>
      </c>
      <c r="H17" s="4" t="s">
        <v>24</v>
      </c>
      <c r="I17" s="4" t="s">
        <v>25</v>
      </c>
      <c r="J17" s="3">
        <v>708</v>
      </c>
      <c r="M17" s="2">
        <v>46061</v>
      </c>
      <c r="N17" s="2">
        <v>46061</v>
      </c>
      <c r="O17" s="2"/>
      <c r="P17" s="1">
        <f>(Financeiro[[#This Row],[data fim ]]-Financeiro[[#This Row],[data de inicio]])/30</f>
        <v>0</v>
      </c>
    </row>
    <row r="18" spans="1:21" x14ac:dyDescent="0.3">
      <c r="A18">
        <v>17</v>
      </c>
      <c r="B18">
        <v>17</v>
      </c>
      <c r="C18">
        <v>116</v>
      </c>
      <c r="D18" t="s">
        <v>49</v>
      </c>
      <c r="E18" t="s">
        <v>49</v>
      </c>
      <c r="F18" t="s">
        <v>30</v>
      </c>
      <c r="G18" t="s">
        <v>49</v>
      </c>
      <c r="H18" s="4" t="s">
        <v>24</v>
      </c>
      <c r="I18" s="4" t="s">
        <v>25</v>
      </c>
      <c r="J18" s="3">
        <v>1000</v>
      </c>
      <c r="M18" s="2">
        <v>46032</v>
      </c>
      <c r="N18" s="2">
        <v>46731</v>
      </c>
      <c r="O18" s="2"/>
      <c r="P18" s="1">
        <f>(Financeiro[[#This Row],[data fim ]]-Financeiro[[#This Row],[data de inicio]])/30</f>
        <v>23.3</v>
      </c>
      <c r="T18" t="s">
        <v>26</v>
      </c>
      <c r="U18" t="s">
        <v>27</v>
      </c>
    </row>
    <row r="19" spans="1:21" x14ac:dyDescent="0.3">
      <c r="A19">
        <v>18</v>
      </c>
      <c r="B19">
        <v>18</v>
      </c>
      <c r="C19">
        <v>117</v>
      </c>
      <c r="D19" t="s">
        <v>50</v>
      </c>
      <c r="E19" t="s">
        <v>51</v>
      </c>
      <c r="F19" t="s">
        <v>23</v>
      </c>
      <c r="G19" t="s">
        <v>50</v>
      </c>
      <c r="H19" s="4" t="s">
        <v>24</v>
      </c>
      <c r="I19" s="4" t="s">
        <v>25</v>
      </c>
      <c r="J19" s="3">
        <v>-1195</v>
      </c>
      <c r="M19" s="2">
        <v>46032</v>
      </c>
      <c r="N19" s="2">
        <v>46731</v>
      </c>
      <c r="O19" s="2"/>
      <c r="P19" s="1">
        <f>(Financeiro[[#This Row],[data fim ]]-Financeiro[[#This Row],[data de inicio]])/30</f>
        <v>23.3</v>
      </c>
      <c r="T19" t="s">
        <v>26</v>
      </c>
      <c r="U19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Contrato_Previsto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Barros</dc:creator>
  <cp:lastModifiedBy>Igor Barros</cp:lastModifiedBy>
  <dcterms:created xsi:type="dcterms:W3CDTF">2026-08-28T12:27:22Z</dcterms:created>
  <dcterms:modified xsi:type="dcterms:W3CDTF">2026-08-28T12:27:48Z</dcterms:modified>
</cp:coreProperties>
</file>